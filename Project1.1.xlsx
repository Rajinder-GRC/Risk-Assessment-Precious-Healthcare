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j Inder Singh\Documents\Projetcs\"/>
    </mc:Choice>
  </mc:AlternateContent>
  <xr:revisionPtr revIDLastSave="0" documentId="13_ncr:1_{09A915FF-AA67-4D43-A615-603A405A183C}" xr6:coauthVersionLast="47" xr6:coauthVersionMax="47" xr10:uidLastSave="{00000000-0000-0000-0000-000000000000}"/>
  <bookViews>
    <workbookView xWindow="-108" yWindow="-108" windowWidth="23256" windowHeight="12456" activeTab="2" xr2:uid="{00000000-000D-0000-FFFF-FFFF00000000}"/>
  </bookViews>
  <sheets>
    <sheet name="Threat &amp; Control Assessment" sheetId="1" r:id="rId1"/>
    <sheet name="Pivot Table" sheetId="4" r:id="rId2"/>
    <sheet name="Summary Report" sheetId="6" r:id="rId3"/>
    <sheet name="Tabular Data (Rough Work)" sheetId="3"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3" l="1"/>
  <c r="J11" i="3"/>
  <c r="J10" i="3"/>
  <c r="J9" i="3"/>
  <c r="J8" i="3"/>
  <c r="J7" i="3"/>
  <c r="J6" i="3"/>
  <c r="J5" i="3"/>
  <c r="J4" i="3"/>
  <c r="J3" i="3"/>
  <c r="J2" i="3"/>
  <c r="J5" i="1"/>
  <c r="J15" i="1"/>
  <c r="J13" i="1"/>
  <c r="J14" i="1"/>
  <c r="J12" i="1"/>
  <c r="J11" i="1"/>
  <c r="J10" i="1"/>
  <c r="J9" i="1"/>
  <c r="J8" i="1"/>
  <c r="J6" i="1"/>
  <c r="J7" i="1"/>
</calcChain>
</file>

<file path=xl/sharedStrings.xml><?xml version="1.0" encoding="utf-8"?>
<sst xmlns="http://schemas.openxmlformats.org/spreadsheetml/2006/main" count="254" uniqueCount="89">
  <si>
    <t>Threat and Control Assessment of "Precious Healthcare Center"</t>
  </si>
  <si>
    <t>Assets</t>
  </si>
  <si>
    <t xml:space="preserve">Patient Details </t>
  </si>
  <si>
    <t>Card payment machine</t>
  </si>
  <si>
    <t>Medical reports database</t>
  </si>
  <si>
    <t>Sales report data (pharmacy)</t>
  </si>
  <si>
    <t>Confidentiality</t>
  </si>
  <si>
    <t>Integrity</t>
  </si>
  <si>
    <t>Availability</t>
  </si>
  <si>
    <t>High</t>
  </si>
  <si>
    <t>Medium</t>
  </si>
  <si>
    <t>Low</t>
  </si>
  <si>
    <t>Possible Threat</t>
  </si>
  <si>
    <t>Vulnerability</t>
  </si>
  <si>
    <t>Risk Table</t>
  </si>
  <si>
    <t xml:space="preserve">Risk </t>
  </si>
  <si>
    <t>Likelihood</t>
  </si>
  <si>
    <t>Impact</t>
  </si>
  <si>
    <t>Risk Value</t>
  </si>
  <si>
    <t xml:space="preserve">Medium </t>
  </si>
  <si>
    <t xml:space="preserve">Reason for Likelihood ratings </t>
  </si>
  <si>
    <t>due to lack of security awareness, staff can let patient use the card without checking ID</t>
  </si>
  <si>
    <t>The website is not secure and  is vulnerable to customer information and payment details</t>
  </si>
  <si>
    <t>unauthorized access to organizational systems</t>
  </si>
  <si>
    <t>system is compromised due to unauthorized access by an outsider to the organizational computers</t>
  </si>
  <si>
    <t>Emails</t>
  </si>
  <si>
    <t xml:space="preserve">No staff training for cybersecurity attacks </t>
  </si>
  <si>
    <t xml:space="preserve">Lack of MFA and security training </t>
  </si>
  <si>
    <t>Phishing leading to account compromise</t>
  </si>
  <si>
    <t xml:space="preserve">A staff member opens a phishing email, clicking on a link giving access of the system  to the attacker </t>
  </si>
  <si>
    <t>manual entry with no checks</t>
  </si>
  <si>
    <t xml:space="preserve">Brute force attack/dictionary attack/ social engineering to staff  </t>
  </si>
  <si>
    <t>weak password (like dictionary words or common names)/ lack of staff security training</t>
  </si>
  <si>
    <t xml:space="preserve"> malware attack</t>
  </si>
  <si>
    <t xml:space="preserve">Fraudulent cards leading to chargebacks and financial loss can be used </t>
  </si>
  <si>
    <t xml:space="preserve">excessive permissions to staff </t>
  </si>
  <si>
    <t>excessive access to staff, chances of typing errors, as there is no process for cross-checking by the supervisor or the doctor</t>
  </si>
  <si>
    <t>manual entry with no checks, same password access to all staff members</t>
  </si>
  <si>
    <t>unauthorized data alteration</t>
  </si>
  <si>
    <t>unauthorized changes</t>
  </si>
  <si>
    <r>
      <rPr>
        <b/>
        <sz val="11"/>
        <color theme="2" tint="-0.749992370372631"/>
        <rFont val="Calibri"/>
        <family val="2"/>
        <scheme val="minor"/>
      </rPr>
      <t>Medium</t>
    </r>
    <r>
      <rPr>
        <b/>
        <sz val="11"/>
        <color theme="0"/>
        <rFont val="Calibri"/>
        <family val="2"/>
        <scheme val="minor"/>
      </rPr>
      <t xml:space="preserve"> </t>
    </r>
  </si>
  <si>
    <t>lack of security awareness training, weak security controls such as passwords, MFA etc, unsecured website</t>
  </si>
  <si>
    <t>The staff has no training to deal with phishing attacks or other cyber attacks without MFA, and phishing is one of the leading causes of healthcare breaches, website is not protected and is vulnerable to threats</t>
  </si>
  <si>
    <t>using an unauthorized card</t>
  </si>
  <si>
    <t>lack of staff training</t>
  </si>
  <si>
    <t xml:space="preserve">The doctor is unable to pull the medical history of a patient from the database  because of the  deletion of files or files not saved </t>
  </si>
  <si>
    <t>exhausted or burned-out staff, shared passwords, no individual accounts</t>
  </si>
  <si>
    <t>common password to pull records of every department, no backups, no individual accounts</t>
  </si>
  <si>
    <t xml:space="preserve"> No use of firewalls or endpoint protection, No MFAs</t>
  </si>
  <si>
    <t xml:space="preserve">lack of the principle of least privilege </t>
  </si>
  <si>
    <t>Staff login credentials</t>
  </si>
  <si>
    <t>external force penetrates  and runs a brute force attack or dictionary attack to compromise  password</t>
  </si>
  <si>
    <t>weak passwords and no lockout after failed attempts make guessing attacks easy.</t>
  </si>
  <si>
    <t>Human error</t>
  </si>
  <si>
    <t>Payment through Website</t>
  </si>
  <si>
    <t>unauthorized access to customer information</t>
  </si>
  <si>
    <t xml:space="preserve"> A hacker gets access to the customer's card details by penetrating the website</t>
  </si>
  <si>
    <t xml:space="preserve">The clinic could have paid the wrong taxes because of intentional or unintentional alteration in sales report </t>
  </si>
  <si>
    <t>Insider misuse</t>
  </si>
  <si>
    <t>unauthorized access to sensitive data</t>
  </si>
  <si>
    <t>Out-of-department staff can open the buy and purchase data report using the same password and can make intentional or unintentional changes in the database</t>
  </si>
  <si>
    <t>Imaging equipment and scans</t>
  </si>
  <si>
    <t>No interdepartmental cross-checking/Common  and weak password, no backup, no individual accounts</t>
  </si>
  <si>
    <t>malware or ransomware corrupts or locks patient files, stopping check-in and exposing data.</t>
  </si>
  <si>
    <t>Staff click on phishing links and there is no malware protection</t>
  </si>
  <si>
    <t>Computers</t>
  </si>
  <si>
    <t>Suggested Controls</t>
  </si>
  <si>
    <t xml:space="preserve">Staff phishing training (preventive &amp; administrative), email login alert (technical and detective) </t>
  </si>
  <si>
    <t>Proper staff training (administrative and preventive)</t>
  </si>
  <si>
    <t>Strong passwords (preventive and technical), secured data recovery strategies and devices (preventive, recovery and Corrective)</t>
  </si>
  <si>
    <t>a staff member views or shares patient scans without authorization, causing a privacy breach and  HIPAA violation</t>
  </si>
  <si>
    <t>Backup devices and strategies (recovery, preventive, directive), separate and strong passwords  (administrative, technical and preventive)</t>
  </si>
  <si>
    <t>Backup devices and strategies (recovery, preventive, directive), cross-checking of information (preventive, directive), separate and strong passwords  (administrative, technical, and preventive)</t>
  </si>
  <si>
    <t>No malware detection system/ No data encryption/ No firewalls</t>
  </si>
  <si>
    <t xml:space="preserve">Strong Passwords (Preventive, technical, and access control), Staff awareness training (administrative and preventive), MFAs (preventive) </t>
  </si>
  <si>
    <t>role-based access and audit logging (detective, administrative, preventive)</t>
  </si>
  <si>
    <t>Anti-viruses (preventive, detective, and technical), staff training regarding social engineering (preventive and administrative), fraud email detection training, and login alerts (administrative and technical, respectively), installation of next-generation firewalls and secured data encryption strategies (preventive and technical/logical)</t>
  </si>
  <si>
    <t>PCI compliant payment processor (preventive, technical), use of FWs, MFAs, endpoint protection (preventive, technical)</t>
  </si>
  <si>
    <t>Somebody can use patient information to claim government-funded subsidies for  people with disabilities</t>
  </si>
  <si>
    <t>Separation of duties and job rotation (directive, administrative, and preventive), limited and separate access to resources (preventive, directive), cross-checking of information (preventive, directive)</t>
  </si>
  <si>
    <t>Wi-Fi</t>
  </si>
  <si>
    <t>common Wi-Fi for office use and guests use</t>
  </si>
  <si>
    <t>Separate Wi-Fi and strong passwords for guests and different departments with strong backup strategies (preventive, technical)</t>
  </si>
  <si>
    <t xml:space="preserve">All appliances are connected to the same Wi-Fi  and guests are also using the same Wi-Fi can result in damaged infrastructure if a malicious factor tries to penetrate through the Wi-Fi network </t>
  </si>
  <si>
    <t xml:space="preserve">Purchasing database </t>
  </si>
  <si>
    <t>Risk Level</t>
  </si>
  <si>
    <t>Row Labels</t>
  </si>
  <si>
    <t>Grand Total</t>
  </si>
  <si>
    <t>Count of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</si>
</sst>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theme="2" tint="-0.749992370372631"/>
      <name val="Calibri"/>
      <family val="2"/>
      <scheme val="minor"/>
    </font>
    <font>
      <b/>
      <u/>
      <sz val="22"/>
      <color theme="2"/>
      <name val="Calibri"/>
      <family val="2"/>
      <scheme val="minor"/>
    </font>
  </fonts>
  <fills count="9">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2" fillId="3" borderId="0" xfId="0" applyFont="1" applyFill="1"/>
    <xf numFmtId="0" fontId="0" fillId="4" borderId="0" xfId="0" applyFill="1" applyAlignment="1">
      <alignment horizontal="left"/>
    </xf>
    <xf numFmtId="0" fontId="0" fillId="4" borderId="0" xfId="0" applyFill="1" applyAlignment="1">
      <alignment horizontal="left" wrapText="1"/>
    </xf>
    <xf numFmtId="0" fontId="0" fillId="4" borderId="0" xfId="0" applyFill="1"/>
    <xf numFmtId="0" fontId="0" fillId="5" borderId="0" xfId="0" applyFill="1"/>
    <xf numFmtId="0" fontId="2" fillId="5" borderId="0" xfId="0" applyFont="1" applyFill="1"/>
    <xf numFmtId="0" fontId="2" fillId="5" borderId="0" xfId="0" applyFont="1" applyFill="1" applyAlignment="1">
      <alignment wrapText="1"/>
    </xf>
    <xf numFmtId="0" fontId="0" fillId="5" borderId="0" xfId="0" applyFill="1" applyAlignment="1">
      <alignment wrapText="1"/>
    </xf>
    <xf numFmtId="0" fontId="2" fillId="4" borderId="0" xfId="0" applyFont="1" applyFill="1"/>
    <xf numFmtId="0" fontId="0" fillId="4" borderId="0" xfId="0" applyFill="1" applyAlignment="1">
      <alignment wrapText="1"/>
    </xf>
    <xf numFmtId="0" fontId="2" fillId="6" borderId="0" xfId="0" applyFont="1" applyFill="1" applyAlignment="1">
      <alignment horizontal="center"/>
    </xf>
    <xf numFmtId="0" fontId="2" fillId="6" borderId="0" xfId="0" applyFont="1" applyFill="1" applyAlignment="1">
      <alignment horizontal="center" wrapText="1"/>
    </xf>
    <xf numFmtId="0" fontId="2" fillId="6" borderId="0" xfId="0" applyFont="1" applyFill="1"/>
    <xf numFmtId="0" fontId="0" fillId="6" borderId="0" xfId="0" applyFill="1"/>
    <xf numFmtId="0" fontId="2" fillId="7" borderId="0" xfId="0" applyFont="1" applyFill="1" applyAlignment="1">
      <alignment horizontal="center"/>
    </xf>
    <xf numFmtId="0" fontId="2" fillId="8" borderId="0" xfId="0" applyFont="1" applyFill="1"/>
    <xf numFmtId="0" fontId="1" fillId="3" borderId="0" xfId="0" applyFont="1" applyFill="1"/>
    <xf numFmtId="0" fontId="0" fillId="0" borderId="0" xfId="0" pivotButton="1"/>
    <xf numFmtId="0" fontId="0" fillId="0" borderId="0" xfId="0" applyAlignment="1">
      <alignment horizontal="left"/>
    </xf>
    <xf numFmtId="0" fontId="4" fillId="2" borderId="0" xfId="0" applyFont="1" applyFill="1" applyAlignment="1">
      <alignment horizontal="center"/>
    </xf>
    <xf numFmtId="0" fontId="2" fillId="7" borderId="0" xfId="0" applyFont="1" applyFill="1" applyAlignment="1">
      <alignment horizontal="center"/>
    </xf>
  </cellXfs>
  <cellStyles count="1">
    <cellStyle name="Normal" xfId="0" builtinId="0"/>
  </cellStyles>
  <dxfs count="32">
    <dxf>
      <font>
        <color theme="0"/>
      </font>
      <fill>
        <patternFill>
          <bgColor theme="9"/>
        </patternFill>
      </fill>
    </dxf>
    <dxf>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theme="9" tint="-0.24994659260841701"/>
        </patternFill>
      </fill>
    </dxf>
    <dxf>
      <font>
        <color theme="0"/>
      </font>
      <fill>
        <patternFill>
          <bgColor rgb="FFFF0000"/>
        </patternFill>
      </fill>
    </dxf>
    <dxf>
      <font>
        <b/>
        <i/>
        <color theme="0"/>
      </font>
      <fill>
        <patternFill>
          <bgColor rgb="FFFF0000"/>
        </patternFill>
      </fill>
    </dxf>
    <dxf>
      <font>
        <b/>
        <i/>
        <color theme="8" tint="-0.24994659260841701"/>
      </font>
      <fill>
        <patternFill>
          <bgColor rgb="FFFFFF00"/>
        </patternFill>
      </fill>
    </dxf>
    <dxf>
      <font>
        <b/>
        <i/>
        <color theme="0"/>
      </font>
      <fill>
        <patternFill>
          <bgColor rgb="FF00B050"/>
        </patternFill>
      </fill>
    </dxf>
    <dxf>
      <font>
        <color theme="0"/>
      </font>
      <fill>
        <patternFill>
          <bgColor theme="9"/>
        </patternFill>
      </fill>
    </dxf>
    <dxf>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theme="9" tint="-0.24994659260841701"/>
        </patternFill>
      </fill>
    </dxf>
    <dxf>
      <font>
        <color theme="0"/>
      </font>
      <fill>
        <patternFill>
          <bgColor rgb="FFFF0000"/>
        </patternFill>
      </fill>
    </dxf>
    <dxf>
      <font>
        <b/>
        <i/>
        <color theme="0"/>
      </font>
      <fill>
        <patternFill>
          <bgColor rgb="FFFF0000"/>
        </patternFill>
      </fill>
    </dxf>
    <dxf>
      <font>
        <b/>
        <i/>
        <color theme="8" tint="-0.24994659260841701"/>
      </font>
      <fill>
        <patternFill>
          <bgColor rgb="FFFFFF00"/>
        </patternFill>
      </fill>
    </dxf>
    <dxf>
      <font>
        <b/>
        <i/>
        <color theme="0"/>
      </font>
      <fill>
        <patternFill>
          <bgColor rgb="FF00B050"/>
        </patternFill>
      </fill>
    </dxf>
    <dxf>
      <fill>
        <patternFill patternType="solid">
          <fgColor indexed="64"/>
          <bgColor theme="4" tint="0.79998168889431442"/>
        </patternFill>
      </fill>
      <alignment horizontal="general" vertical="bottom" textRotation="0" wrapText="1" indent="0" justifyLastLine="0" shrinkToFit="0" readingOrder="0"/>
    </dxf>
    <dxf>
      <fill>
        <patternFill patternType="solid">
          <fgColor indexed="64"/>
          <bgColor theme="4" tint="0.79998168889431442"/>
        </patternFill>
      </fill>
      <alignment horizontal="general" vertical="bottom" textRotation="0" wrapText="1" indent="0" justifyLastLine="0" shrinkToFit="0" readingOrder="0"/>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alignment horizontal="general" vertical="bottom" textRotation="0" wrapText="1" indent="0" justifyLastLine="0" shrinkToFit="0" readingOrder="0"/>
    </dxf>
    <dxf>
      <fill>
        <patternFill patternType="solid">
          <fgColor indexed="64"/>
          <bgColor theme="4" tint="0.79998168889431442"/>
        </patternFill>
      </fill>
      <alignment horizontal="general" vertical="bottom" textRotation="0" wrapText="1" indent="0" justifyLastLine="0" shrinkToFit="0" readingOrder="0"/>
    </dxf>
    <dxf>
      <fill>
        <patternFill patternType="solid">
          <fgColor indexed="64"/>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4"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xdr:row>
          <xdr:rowOff>0</xdr:rowOff>
        </xdr:from>
        <xdr:to>
          <xdr:col>3</xdr:col>
          <xdr:colOff>304800</xdr:colOff>
          <xdr:row>4</xdr:row>
          <xdr:rowOff>137160</xdr:rowOff>
        </xdr:to>
        <xdr:sp macro="" textlink="">
          <xdr:nvSpPr>
            <xdr:cNvPr id="5121" name="Object 1" hidden="1">
              <a:extLst>
                <a:ext uri="{63B3BB69-23CF-44E3-9099-C40C66FF867C}">
                  <a14:compatExt spid="_x0000_s5121"/>
                </a:ext>
                <a:ext uri="{FF2B5EF4-FFF2-40B4-BE49-F238E27FC236}">
                  <a16:creationId xmlns:a16="http://schemas.microsoft.com/office/drawing/2014/main" id="{333C9AA6-D704-29D4-B523-86F15071C8D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Inder Singh" refreshedDate="46316.880488194445" createdVersion="8" refreshedVersion="8" minRefreshableVersion="3" recordCount="11" xr:uid="{A77C4C1A-286D-4060-941E-59FE820E1DE7}">
  <cacheSource type="worksheet">
    <worksheetSource name="Table1"/>
  </cacheSource>
  <cacheFields count="13">
    <cacheField name="Assets" numFmtId="0">
      <sharedItems/>
    </cacheField>
    <cacheField name="Confidentiality" numFmtId="0">
      <sharedItems count="4">
        <s v="High"/>
        <s v="Medium"/>
        <s v="Medium "/>
        <s v="Low"/>
      </sharedItems>
    </cacheField>
    <cacheField name="Integrity" numFmtId="0">
      <sharedItems/>
    </cacheField>
    <cacheField name="Availability" numFmtId="0">
      <sharedItems/>
    </cacheField>
    <cacheField name="Possible Threat" numFmtId="0">
      <sharedItems/>
    </cacheField>
    <cacheField name="Vulnerability" numFmtId="0">
      <sharedItems/>
    </cacheField>
    <cacheField name="Risk " numFmtId="0">
      <sharedItems/>
    </cacheField>
    <cacheField name="Likelihood" numFmtId="0">
      <sharedItems containsSemiMixedTypes="0" containsString="0" containsNumber="1" containsInteger="1" minValue="3" maxValue="4"/>
    </cacheField>
    <cacheField name="Impact" numFmtId="0">
      <sharedItems containsSemiMixedTypes="0" containsString="0" containsNumber="1" containsInteger="1" minValue="3" maxValue="5"/>
    </cacheField>
    <cacheField name="Risk Value" numFmtId="0">
      <sharedItems containsSemiMixedTypes="0" containsString="0" containsNumber="1" containsInteger="1" minValue="9" maxValue="20"/>
    </cacheField>
    <cacheField name="Risk Level" numFmtId="0">
      <sharedItems count="3">
        <s v="High"/>
        <s v="Low"/>
        <s v="Medium"/>
      </sharedItems>
    </cacheField>
    <cacheField name="Reason for Likelihood ratings " numFmtId="0">
      <sharedItems/>
    </cacheField>
    <cacheField name="Suggested Control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Emails"/>
    <x v="0"/>
    <s v="Medium"/>
    <s v="Medium"/>
    <s v="Phishing leading to account compromise"/>
    <s v="Lack of MFA and security training "/>
    <s v="A staff member opens a phishing email, clicking on a link giving access of the system  to the attacker "/>
    <n v="4"/>
    <n v="5"/>
    <n v="20"/>
    <x v="0"/>
    <s v="No staff training for cybersecurity attacks "/>
    <s v="Staff phishing training (preventive &amp; administrative), email login alert (technical and detective) "/>
  </r>
  <r>
    <s v="Patient Details "/>
    <x v="0"/>
    <s v="High"/>
    <s v="Medium"/>
    <s v="unauthorized access to sensitive data"/>
    <s v="lack of security awareness training, weak security controls such as passwords, MFA etc, unsecured website"/>
    <s v="Somebody can use patient information to claim government-funded subsidies for  people with disabilities"/>
    <n v="4"/>
    <n v="5"/>
    <n v="20"/>
    <x v="0"/>
    <s v="The staff has no training to deal with phishing attacks or other cyber attacks without MFA, and phishing is one of the leading causes of healthcare breaches, website is not protected and is vulnerable to threats"/>
    <s v="Strong Passwords (Preventive, technical, and access control), Staff awareness training (administrative and preventive), MFAs (preventive) "/>
  </r>
  <r>
    <s v="Computers"/>
    <x v="1"/>
    <s v="Medium"/>
    <s v="High"/>
    <s v=" malware attack"/>
    <s v="No malware detection system/ No data encryption/ No firewalls"/>
    <s v="malware or ransomware corrupts or locks patient files, stopping check-in and exposing data."/>
    <n v="4"/>
    <n v="5"/>
    <n v="20"/>
    <x v="0"/>
    <s v="Staff click on phishing links and there is no malware protection"/>
    <s v="Anti-viruses (preventive, detective, and technical), staff training regarding social engineering (preventive and administrative), fraud email detection training, and login alerts (administrative and technical, respectively), installation of next-generation firewalls and secured data encryption strategies (preventive and technical/logical)"/>
  </r>
  <r>
    <s v="Card payment machine"/>
    <x v="2"/>
    <s v="High"/>
    <s v="Medium"/>
    <s v="using an unauthorized card"/>
    <s v="lack of staff training"/>
    <s v="Fraudulent cards leading to chargebacks and financial loss can be used "/>
    <n v="3"/>
    <n v="3"/>
    <n v="9"/>
    <x v="1"/>
    <s v="due to lack of security awareness, staff can let patient use the card without checking ID"/>
    <s v="Proper staff training (administrative and preventive)"/>
  </r>
  <r>
    <s v="Staff login credentials"/>
    <x v="0"/>
    <s v="High"/>
    <s v="Medium"/>
    <s v="Brute force attack/dictionary attack/ social engineering to staff  "/>
    <s v="weak password (like dictionary words or common names)/ lack of staff security training"/>
    <s v="external force penetrates  and runs a brute force attack or dictionary attack to compromise  password"/>
    <n v="3"/>
    <n v="4"/>
    <n v="12"/>
    <x v="2"/>
    <s v="weak passwords and no lockout after failed attempts make guessing attacks easy."/>
    <s v="Strong passwords (preventive and technical), secured data recovery strategies and devices (preventive, recovery and Corrective)"/>
  </r>
  <r>
    <s v="Imaging equipment and scans"/>
    <x v="0"/>
    <s v="High"/>
    <s v="Medium "/>
    <s v="Insider misuse"/>
    <s v="excessive permissions to staff "/>
    <s v="a staff member views or shares patient scans without authorization, causing a privacy breach and  HIPAA violation"/>
    <n v="4"/>
    <n v="4"/>
    <n v="16"/>
    <x v="2"/>
    <s v="lack of the principle of least privilege "/>
    <s v="role-based access and audit logging (detective, administrative, preventive)"/>
  </r>
  <r>
    <s v="Payment through Website"/>
    <x v="0"/>
    <s v="Medium"/>
    <s v="Medium"/>
    <s v="unauthorized access to customer information"/>
    <s v=" No use of firewalls or endpoint protection, No MFAs"/>
    <s v=" A hacker gets access to the customer's card details by penetrating the website"/>
    <n v="4"/>
    <n v="4"/>
    <n v="16"/>
    <x v="2"/>
    <s v="The website is not secure and  is vulnerable to customer information and payment details"/>
    <s v="PCI compliant payment processor (preventive, technical), use of FWs, MFAs, endpoint protection (preventive, technical)"/>
  </r>
  <r>
    <s v="Medical reports database"/>
    <x v="1"/>
    <s v="High"/>
    <s v="High"/>
    <s v="Human error"/>
    <s v="exhausted or burned-out staff, shared passwords, no individual accounts"/>
    <s v="The doctor is unable to pull the medical history of a patient from the database  because of the  deletion of files or files not saved "/>
    <n v="3"/>
    <n v="4"/>
    <n v="12"/>
    <x v="2"/>
    <s v="excessive access to staff, chances of typing errors, as there is no process for cross-checking by the supervisor or the doctor"/>
    <s v="Separation of duties and job rotation (directive, administrative, and preventive), limited and separate access to resources (preventive, directive), cross-checking of information (preventive, directive)"/>
  </r>
  <r>
    <s v="Purchasing database "/>
    <x v="3"/>
    <s v="High"/>
    <s v="Medium"/>
    <s v="unauthorized data alteration"/>
    <s v="common password to pull records of every department, no backups, no individual accounts"/>
    <s v="Out-of-department staff can open the buy and purchase data report using the same password and can make intentional or unintentional changes in the database"/>
    <n v="3"/>
    <n v="3"/>
    <n v="9"/>
    <x v="1"/>
    <s v="manual entry with no checks, same password access to all staff members"/>
    <s v="Backup devices and strategies (recovery, preventive, directive), separate and strong passwords  (administrative, technical and preventive)"/>
  </r>
  <r>
    <s v="Sales report data (pharmacy)"/>
    <x v="3"/>
    <s v="High"/>
    <s v="Medium"/>
    <s v="unauthorized changes"/>
    <s v="No interdepartmental cross-checking/Common  and weak password, no backup, no individual accounts"/>
    <s v="The clinic could have paid the wrong taxes because of intentional or unintentional alteration in sales report "/>
    <n v="3"/>
    <n v="3"/>
    <n v="9"/>
    <x v="1"/>
    <s v="manual entry with no checks"/>
    <s v="Backup devices and strategies (recovery, preventive, directive), cross-checking of information (preventive, directive), separate and strong passwords  (administrative, technical, and preventive)"/>
  </r>
  <r>
    <s v="Wi-Fi"/>
    <x v="0"/>
    <s v="Medium"/>
    <s v="Medium "/>
    <s v="unauthorized access to organizational systems"/>
    <s v="common Wi-Fi for office use and guests use"/>
    <s v="system is compromised due to unauthorized access by an outsider to the organizational computers"/>
    <n v="3"/>
    <n v="4"/>
    <n v="12"/>
    <x v="2"/>
    <s v="All appliances are connected to the same Wi-Fi  and guests are also using the same Wi-Fi can result in damaged infrastructure if a malicious factor tries to penetrate through the Wi-Fi network "/>
    <s v="Separate Wi-Fi and strong passwords for guests and different departments with strong backup strategies (preventive, techn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A6663-FFB4-4513-8763-6C39962E26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s>
  <rowFields count="1">
    <field x="10"/>
  </rowFields>
  <rowItems count="4">
    <i>
      <x/>
    </i>
    <i>
      <x v="1"/>
    </i>
    <i>
      <x v="2"/>
    </i>
    <i t="grand">
      <x/>
    </i>
  </rowItems>
  <colItems count="1">
    <i/>
  </colItems>
  <dataFields count="1">
    <dataField name="Count of Asse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FCC85E-AF75-4E7B-8FB5-BB58ED389A22}" name="Table1" displayName="Table1" ref="A1:M12" totalsRowShown="0" headerRowDxfId="31" dataDxfId="30">
  <autoFilter ref="A1:M12" xr:uid="{5CFCC85E-AF75-4E7B-8FB5-BB58ED389A22}"/>
  <tableColumns count="13">
    <tableColumn id="1" xr3:uid="{878B6BA9-FB0E-4526-A601-F603CAAC63ED}" name="Assets" dataDxfId="29"/>
    <tableColumn id="2" xr3:uid="{F7833111-CBF3-4D68-87B3-28071025EDB4}" name="Confidentiality" dataDxfId="28"/>
    <tableColumn id="3" xr3:uid="{B742B6FF-C6E5-4EC8-A042-6EFD815F62EC}" name="Integrity" dataDxfId="27"/>
    <tableColumn id="4" xr3:uid="{DDD90040-5F8A-4A6C-8691-3E027F35FFFD}" name="Availability"/>
    <tableColumn id="5" xr3:uid="{CA831F4A-01CD-4E0B-B34A-BA4A4A93016A}" name="Possible Threat" dataDxfId="26"/>
    <tableColumn id="6" xr3:uid="{620E74F7-1CB1-4BE5-AFD9-F2359D51C3A8}" name="Vulnerability" dataDxfId="25"/>
    <tableColumn id="7" xr3:uid="{2093FB00-D03A-4D1B-9896-C0667D9397BB}" name="Risk " dataDxfId="24"/>
    <tableColumn id="8" xr3:uid="{502405CD-58E2-44D0-8FA2-F92343FD11D7}" name="Likelihood" dataDxfId="23"/>
    <tableColumn id="9" xr3:uid="{7C49C678-0366-4CC5-AE8D-2963B002F60C}" name="Impact" dataDxfId="22"/>
    <tableColumn id="10" xr3:uid="{D75422C7-8EBE-4276-816A-F2492DFCFB61}" name="Risk Value" dataDxfId="21">
      <calculatedColumnFormula>H2*I2</calculatedColumnFormula>
    </tableColumn>
    <tableColumn id="11" xr3:uid="{8D86A4B5-2B2C-460B-9D68-4F2940D3B179}" name="Risk Level" dataDxfId="20"/>
    <tableColumn id="12" xr3:uid="{EBCB818A-16FB-49AE-AEB6-08946D6CEF41}" name="Reason for Likelihood ratings " dataDxfId="19"/>
    <tableColumn id="13" xr3:uid="{8790782D-3436-4DAD-907F-07329156271C}" name="Suggested Controls"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
  <sheetViews>
    <sheetView topLeftCell="G1" zoomScaleNormal="100" workbookViewId="0">
      <selection activeCell="L10" sqref="L10"/>
    </sheetView>
  </sheetViews>
  <sheetFormatPr defaultRowHeight="14.4" x14ac:dyDescent="0.3"/>
  <cols>
    <col min="1" max="1" width="38.109375" customWidth="1"/>
    <col min="2" max="2" width="16.109375" customWidth="1"/>
    <col min="3" max="3" width="9.88671875" customWidth="1"/>
    <col min="4" max="4" width="11.21875" customWidth="1"/>
    <col min="5" max="5" width="26.44140625" customWidth="1"/>
    <col min="6" max="6" width="33.33203125" customWidth="1"/>
    <col min="7" max="7" width="22.88671875" customWidth="1"/>
    <col min="8" max="8" width="10.44140625" customWidth="1"/>
    <col min="10" max="11" width="11.109375" customWidth="1"/>
    <col min="12" max="12" width="39.33203125" customWidth="1"/>
    <col min="13" max="13" width="43.88671875" customWidth="1"/>
  </cols>
  <sheetData>
    <row r="1" spans="1:25" ht="55.2" customHeight="1" x14ac:dyDescent="0.55000000000000004">
      <c r="A1" s="20" t="s">
        <v>0</v>
      </c>
      <c r="B1" s="20"/>
      <c r="C1" s="20"/>
      <c r="D1" s="20"/>
      <c r="E1" s="20"/>
      <c r="F1" s="20"/>
      <c r="G1" s="20"/>
      <c r="H1" s="20"/>
      <c r="I1" s="20"/>
      <c r="J1" s="20"/>
      <c r="K1" s="20"/>
      <c r="L1" s="20"/>
      <c r="M1" s="20"/>
      <c r="N1" s="20"/>
      <c r="O1" s="20"/>
      <c r="P1" s="20"/>
      <c r="Q1" s="20"/>
      <c r="R1" s="20"/>
      <c r="S1" s="20"/>
      <c r="T1" s="20"/>
      <c r="U1" s="20"/>
      <c r="V1" s="20"/>
      <c r="W1" s="20"/>
      <c r="X1" s="20"/>
    </row>
    <row r="2" spans="1:25" s="14" customFormat="1" x14ac:dyDescent="0.3"/>
    <row r="3" spans="1:25" ht="17.399999999999999" customHeight="1" x14ac:dyDescent="0.3">
      <c r="A3" s="14"/>
      <c r="B3" s="14"/>
      <c r="C3" s="14"/>
      <c r="D3" s="14"/>
      <c r="E3" s="14"/>
      <c r="F3" s="14"/>
      <c r="G3" s="21" t="s">
        <v>14</v>
      </c>
      <c r="H3" s="21"/>
      <c r="I3" s="21"/>
      <c r="J3" s="21"/>
      <c r="K3" s="15"/>
      <c r="L3" s="14"/>
      <c r="M3" s="14"/>
      <c r="N3" s="14"/>
      <c r="O3" s="14"/>
      <c r="P3" s="14"/>
      <c r="Q3" s="14"/>
      <c r="R3" s="14"/>
      <c r="S3" s="14"/>
      <c r="T3" s="14"/>
      <c r="U3" s="14"/>
      <c r="V3" s="14"/>
      <c r="W3" s="14"/>
      <c r="X3" s="14"/>
      <c r="Y3" s="14"/>
    </row>
    <row r="4" spans="1:25" s="14" customFormat="1" ht="26.4" customHeight="1" x14ac:dyDescent="0.3">
      <c r="A4" s="11" t="s">
        <v>1</v>
      </c>
      <c r="B4" s="12" t="s">
        <v>6</v>
      </c>
      <c r="C4" s="11" t="s">
        <v>7</v>
      </c>
      <c r="D4" s="11" t="s">
        <v>8</v>
      </c>
      <c r="E4" s="12" t="s">
        <v>12</v>
      </c>
      <c r="F4" s="11" t="s">
        <v>13</v>
      </c>
      <c r="G4" s="16" t="s">
        <v>15</v>
      </c>
      <c r="H4" s="16" t="s">
        <v>16</v>
      </c>
      <c r="I4" s="16" t="s">
        <v>17</v>
      </c>
      <c r="J4" s="16" t="s">
        <v>18</v>
      </c>
      <c r="K4" s="16" t="s">
        <v>85</v>
      </c>
      <c r="L4" s="13" t="s">
        <v>20</v>
      </c>
      <c r="M4" s="13" t="s">
        <v>66</v>
      </c>
    </row>
    <row r="5" spans="1:25" s="4" customFormat="1" ht="61.8" customHeight="1" x14ac:dyDescent="0.3">
      <c r="A5" s="2" t="s">
        <v>25</v>
      </c>
      <c r="B5" s="3" t="s">
        <v>9</v>
      </c>
      <c r="C5" s="2" t="s">
        <v>10</v>
      </c>
      <c r="D5" s="2" t="s">
        <v>10</v>
      </c>
      <c r="E5" s="3" t="s">
        <v>28</v>
      </c>
      <c r="F5" s="3" t="s">
        <v>27</v>
      </c>
      <c r="G5" s="3" t="s">
        <v>29</v>
      </c>
      <c r="H5" s="4">
        <v>4</v>
      </c>
      <c r="I5" s="4">
        <v>5</v>
      </c>
      <c r="J5" s="4">
        <f t="shared" ref="J5:J15" si="0">H5*I5</f>
        <v>20</v>
      </c>
      <c r="K5" s="4" t="s">
        <v>9</v>
      </c>
      <c r="L5" s="4" t="s">
        <v>26</v>
      </c>
      <c r="M5" s="10" t="s">
        <v>67</v>
      </c>
    </row>
    <row r="6" spans="1:25" s="5" customFormat="1" ht="72" x14ac:dyDescent="0.3">
      <c r="A6" s="5" t="s">
        <v>2</v>
      </c>
      <c r="B6" s="6" t="s">
        <v>9</v>
      </c>
      <c r="C6" s="7" t="s">
        <v>9</v>
      </c>
      <c r="D6" s="6" t="s">
        <v>10</v>
      </c>
      <c r="E6" s="8" t="s">
        <v>59</v>
      </c>
      <c r="F6" s="8" t="s">
        <v>41</v>
      </c>
      <c r="G6" s="8" t="s">
        <v>78</v>
      </c>
      <c r="H6" s="5">
        <v>4</v>
      </c>
      <c r="I6" s="5">
        <v>5</v>
      </c>
      <c r="J6" s="5">
        <f t="shared" si="0"/>
        <v>20</v>
      </c>
      <c r="K6" s="5" t="s">
        <v>9</v>
      </c>
      <c r="L6" s="8" t="s">
        <v>42</v>
      </c>
      <c r="M6" s="8" t="s">
        <v>74</v>
      </c>
    </row>
    <row r="7" spans="1:25" s="4" customFormat="1" ht="100.8" x14ac:dyDescent="0.3">
      <c r="A7" s="4" t="s">
        <v>65</v>
      </c>
      <c r="B7" s="9" t="s">
        <v>10</v>
      </c>
      <c r="C7" s="9" t="s">
        <v>10</v>
      </c>
      <c r="D7" s="9" t="s">
        <v>9</v>
      </c>
      <c r="E7" s="10" t="s">
        <v>33</v>
      </c>
      <c r="F7" s="10" t="s">
        <v>73</v>
      </c>
      <c r="G7" s="10" t="s">
        <v>63</v>
      </c>
      <c r="H7" s="4">
        <v>4</v>
      </c>
      <c r="I7" s="4">
        <v>5</v>
      </c>
      <c r="J7" s="4">
        <f t="shared" si="0"/>
        <v>20</v>
      </c>
      <c r="K7" s="4" t="s">
        <v>9</v>
      </c>
      <c r="L7" s="10" t="s">
        <v>64</v>
      </c>
      <c r="M7" s="10" t="s">
        <v>76</v>
      </c>
    </row>
    <row r="8" spans="1:25" s="5" customFormat="1" ht="43.2" x14ac:dyDescent="0.3">
      <c r="A8" s="5" t="s">
        <v>3</v>
      </c>
      <c r="B8" s="1" t="s">
        <v>19</v>
      </c>
      <c r="C8" s="6" t="s">
        <v>9</v>
      </c>
      <c r="D8" s="6" t="s">
        <v>10</v>
      </c>
      <c r="E8" s="8" t="s">
        <v>43</v>
      </c>
      <c r="F8" s="8" t="s">
        <v>44</v>
      </c>
      <c r="G8" s="8" t="s">
        <v>34</v>
      </c>
      <c r="H8" s="5">
        <v>3</v>
      </c>
      <c r="I8" s="5">
        <v>3</v>
      </c>
      <c r="J8" s="5">
        <f t="shared" si="0"/>
        <v>9</v>
      </c>
      <c r="K8" s="5" t="s">
        <v>11</v>
      </c>
      <c r="L8" s="8" t="s">
        <v>21</v>
      </c>
      <c r="M8" s="5" t="s">
        <v>68</v>
      </c>
    </row>
    <row r="9" spans="1:25" s="4" customFormat="1" ht="57.6" x14ac:dyDescent="0.3">
      <c r="A9" s="4" t="s">
        <v>50</v>
      </c>
      <c r="B9" s="9" t="s">
        <v>9</v>
      </c>
      <c r="C9" s="9" t="s">
        <v>9</v>
      </c>
      <c r="D9" s="9" t="s">
        <v>10</v>
      </c>
      <c r="E9" s="10" t="s">
        <v>31</v>
      </c>
      <c r="F9" s="10" t="s">
        <v>32</v>
      </c>
      <c r="G9" s="10" t="s">
        <v>51</v>
      </c>
      <c r="H9" s="4">
        <v>3</v>
      </c>
      <c r="I9" s="4">
        <v>4</v>
      </c>
      <c r="J9" s="4">
        <f t="shared" si="0"/>
        <v>12</v>
      </c>
      <c r="K9" s="4" t="s">
        <v>10</v>
      </c>
      <c r="L9" s="10" t="s">
        <v>52</v>
      </c>
      <c r="M9" s="10" t="s">
        <v>69</v>
      </c>
    </row>
    <row r="10" spans="1:25" s="5" customFormat="1" ht="72" x14ac:dyDescent="0.3">
      <c r="A10" s="8" t="s">
        <v>61</v>
      </c>
      <c r="B10" s="6" t="s">
        <v>9</v>
      </c>
      <c r="C10" s="6" t="s">
        <v>9</v>
      </c>
      <c r="D10" s="1" t="s">
        <v>19</v>
      </c>
      <c r="E10" s="8" t="s">
        <v>58</v>
      </c>
      <c r="F10" s="8" t="s">
        <v>35</v>
      </c>
      <c r="G10" s="8" t="s">
        <v>70</v>
      </c>
      <c r="H10" s="5">
        <v>4</v>
      </c>
      <c r="I10" s="5">
        <v>4</v>
      </c>
      <c r="J10" s="5">
        <f t="shared" si="0"/>
        <v>16</v>
      </c>
      <c r="K10" s="5" t="s">
        <v>10</v>
      </c>
      <c r="L10" s="8" t="s">
        <v>49</v>
      </c>
      <c r="M10" s="8" t="s">
        <v>75</v>
      </c>
    </row>
    <row r="11" spans="1:25" s="4" customFormat="1" ht="57.6" x14ac:dyDescent="0.3">
      <c r="A11" s="4" t="s">
        <v>54</v>
      </c>
      <c r="B11" s="9" t="s">
        <v>9</v>
      </c>
      <c r="C11" s="9" t="s">
        <v>10</v>
      </c>
      <c r="D11" s="9" t="s">
        <v>10</v>
      </c>
      <c r="E11" s="10" t="s">
        <v>55</v>
      </c>
      <c r="F11" s="10" t="s">
        <v>48</v>
      </c>
      <c r="G11" s="10" t="s">
        <v>56</v>
      </c>
      <c r="H11" s="4">
        <v>4</v>
      </c>
      <c r="I11" s="4">
        <v>4</v>
      </c>
      <c r="J11" s="4">
        <f t="shared" si="0"/>
        <v>16</v>
      </c>
      <c r="K11" s="4" t="s">
        <v>10</v>
      </c>
      <c r="L11" s="10" t="s">
        <v>22</v>
      </c>
      <c r="M11" s="10" t="s">
        <v>77</v>
      </c>
    </row>
    <row r="12" spans="1:25" s="5" customFormat="1" ht="86.4" x14ac:dyDescent="0.3">
      <c r="A12" s="5" t="s">
        <v>4</v>
      </c>
      <c r="B12" s="6" t="s">
        <v>10</v>
      </c>
      <c r="C12" s="6" t="s">
        <v>9</v>
      </c>
      <c r="D12" s="6" t="s">
        <v>9</v>
      </c>
      <c r="E12" s="8" t="s">
        <v>53</v>
      </c>
      <c r="F12" s="8" t="s">
        <v>46</v>
      </c>
      <c r="G12" s="8" t="s">
        <v>45</v>
      </c>
      <c r="H12" s="5">
        <v>3</v>
      </c>
      <c r="I12" s="5">
        <v>4</v>
      </c>
      <c r="J12" s="5">
        <f t="shared" si="0"/>
        <v>12</v>
      </c>
      <c r="K12" s="5" t="s">
        <v>10</v>
      </c>
      <c r="L12" s="8" t="s">
        <v>36</v>
      </c>
      <c r="M12" s="8" t="s">
        <v>79</v>
      </c>
    </row>
    <row r="13" spans="1:25" s="4" customFormat="1" ht="100.8" x14ac:dyDescent="0.3">
      <c r="A13" s="4" t="s">
        <v>84</v>
      </c>
      <c r="B13" s="9" t="s">
        <v>11</v>
      </c>
      <c r="C13" s="9" t="s">
        <v>9</v>
      </c>
      <c r="D13" s="9" t="s">
        <v>10</v>
      </c>
      <c r="E13" s="10" t="s">
        <v>38</v>
      </c>
      <c r="F13" s="10" t="s">
        <v>47</v>
      </c>
      <c r="G13" s="10" t="s">
        <v>60</v>
      </c>
      <c r="H13" s="4">
        <v>3</v>
      </c>
      <c r="I13" s="4">
        <v>3</v>
      </c>
      <c r="J13" s="4">
        <f t="shared" si="0"/>
        <v>9</v>
      </c>
      <c r="K13" s="4" t="s">
        <v>11</v>
      </c>
      <c r="L13" s="10" t="s">
        <v>37</v>
      </c>
      <c r="M13" s="10" t="s">
        <v>71</v>
      </c>
    </row>
    <row r="14" spans="1:25" s="5" customFormat="1" ht="72" x14ac:dyDescent="0.3">
      <c r="A14" s="5" t="s">
        <v>5</v>
      </c>
      <c r="B14" s="6" t="s">
        <v>11</v>
      </c>
      <c r="C14" s="6" t="s">
        <v>9</v>
      </c>
      <c r="D14" s="6" t="s">
        <v>10</v>
      </c>
      <c r="E14" s="8" t="s">
        <v>39</v>
      </c>
      <c r="F14" s="8" t="s">
        <v>62</v>
      </c>
      <c r="G14" s="8" t="s">
        <v>57</v>
      </c>
      <c r="H14" s="5">
        <v>3</v>
      </c>
      <c r="I14" s="5">
        <v>3</v>
      </c>
      <c r="J14" s="5">
        <f t="shared" si="0"/>
        <v>9</v>
      </c>
      <c r="K14" s="5" t="s">
        <v>11</v>
      </c>
      <c r="L14" s="8" t="s">
        <v>30</v>
      </c>
      <c r="M14" s="8" t="s">
        <v>72</v>
      </c>
    </row>
    <row r="15" spans="1:25" s="4" customFormat="1" ht="72" x14ac:dyDescent="0.3">
      <c r="A15" s="4" t="s">
        <v>80</v>
      </c>
      <c r="B15" s="9" t="s">
        <v>9</v>
      </c>
      <c r="C15" s="9" t="s">
        <v>10</v>
      </c>
      <c r="D15" s="17" t="s">
        <v>40</v>
      </c>
      <c r="E15" s="10" t="s">
        <v>23</v>
      </c>
      <c r="F15" s="10" t="s">
        <v>81</v>
      </c>
      <c r="G15" s="10" t="s">
        <v>24</v>
      </c>
      <c r="H15" s="4">
        <v>3</v>
      </c>
      <c r="I15" s="4">
        <v>4</v>
      </c>
      <c r="J15" s="4">
        <f t="shared" si="0"/>
        <v>12</v>
      </c>
      <c r="K15" s="4" t="s">
        <v>10</v>
      </c>
      <c r="L15" s="10" t="s">
        <v>83</v>
      </c>
      <c r="M15" s="10" t="s">
        <v>82</v>
      </c>
    </row>
  </sheetData>
  <mergeCells count="2">
    <mergeCell ref="A1:X1"/>
    <mergeCell ref="G3:J3"/>
  </mergeCells>
  <conditionalFormatting sqref="B2:D1048576">
    <cfRule type="cellIs" dxfId="17" priority="11" operator="equal">
      <formula>"low"</formula>
    </cfRule>
    <cfRule type="cellIs" dxfId="16" priority="12" operator="equal">
      <formula>"medium"</formula>
    </cfRule>
    <cfRule type="cellIs" dxfId="15" priority="13" operator="equal">
      <formula>"High"</formula>
    </cfRule>
  </conditionalFormatting>
  <conditionalFormatting sqref="G7:G9 G12:G15">
    <cfRule type="cellIs" dxfId="14" priority="16" operator="equal">
      <formula>"High"</formula>
    </cfRule>
    <cfRule type="cellIs" dxfId="13" priority="17" operator="equal">
      <formula>"low"</formula>
    </cfRule>
    <cfRule type="cellIs" dxfId="12" priority="18" operator="equal">
      <formula>"high"</formula>
    </cfRule>
  </conditionalFormatting>
  <conditionalFormatting sqref="J5:J15">
    <cfRule type="cellIs" dxfId="11" priority="1" operator="greaterThan">
      <formula>19</formula>
    </cfRule>
    <cfRule type="cellIs" dxfId="10" priority="2" operator="between">
      <formula>10</formula>
      <formula>19</formula>
    </cfRule>
    <cfRule type="cellIs" dxfId="9" priority="3" operator="lessThanOrEqual">
      <formula>9</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8F6C-8E70-4EDA-A941-6EAD73F3DEAC}">
  <dimension ref="A3:B7"/>
  <sheetViews>
    <sheetView workbookViewId="0">
      <selection activeCell="J8" sqref="J8"/>
    </sheetView>
  </sheetViews>
  <sheetFormatPr defaultRowHeight="14.4" x14ac:dyDescent="0.3"/>
  <cols>
    <col min="1" max="1" width="12.5546875" bestFit="1" customWidth="1"/>
    <col min="2" max="2" width="14.109375" bestFit="1" customWidth="1"/>
  </cols>
  <sheetData>
    <row r="3" spans="1:2" x14ac:dyDescent="0.3">
      <c r="A3" s="18" t="s">
        <v>86</v>
      </c>
      <c r="B3" t="s">
        <v>88</v>
      </c>
    </row>
    <row r="4" spans="1:2" x14ac:dyDescent="0.3">
      <c r="A4" s="19" t="s">
        <v>9</v>
      </c>
      <c r="B4">
        <v>3</v>
      </c>
    </row>
    <row r="5" spans="1:2" x14ac:dyDescent="0.3">
      <c r="A5" s="19" t="s">
        <v>11</v>
      </c>
      <c r="B5">
        <v>3</v>
      </c>
    </row>
    <row r="6" spans="1:2" x14ac:dyDescent="0.3">
      <c r="A6" s="19" t="s">
        <v>10</v>
      </c>
      <c r="B6">
        <v>5</v>
      </c>
    </row>
    <row r="7" spans="1:2" x14ac:dyDescent="0.3">
      <c r="A7" s="19" t="s">
        <v>87</v>
      </c>
      <c r="B7">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DAE1-C74A-4335-A21E-306285C78E3C}">
  <dimension ref="A1"/>
  <sheetViews>
    <sheetView tabSelected="1" workbookViewId="0">
      <selection activeCell="N15" sqref="N15"/>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dvAspect="DVASPECT_ICON" shapeId="5121" r:id="rId4">
          <objectPr defaultSize="0" r:id="rId5">
            <anchor moveWithCells="1">
              <from>
                <xdr:col>2</xdr:col>
                <xdr:colOff>0</xdr:colOff>
                <xdr:row>1</xdr:row>
                <xdr:rowOff>0</xdr:rowOff>
              </from>
              <to>
                <xdr:col>3</xdr:col>
                <xdr:colOff>304800</xdr:colOff>
                <xdr:row>4</xdr:row>
                <xdr:rowOff>137160</xdr:rowOff>
              </to>
            </anchor>
          </objectPr>
        </oleObject>
      </mc:Choice>
      <mc:Fallback>
        <oleObject progId="Word.Document.12" dvAspect="DVASPECT_ICON" shapeId="5121"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7B77-B4D2-4E37-838C-2B5029322D90}">
  <dimension ref="A1:M12"/>
  <sheetViews>
    <sheetView topLeftCell="A2" workbookViewId="0">
      <selection activeCell="D3" sqref="D3"/>
    </sheetView>
  </sheetViews>
  <sheetFormatPr defaultRowHeight="14.4" x14ac:dyDescent="0.3"/>
  <cols>
    <col min="2" max="2" width="15.21875" customWidth="1"/>
    <col min="3" max="3" width="10" customWidth="1"/>
    <col min="4" max="4" width="12.109375" customWidth="1"/>
    <col min="5" max="5" width="15.5546875" customWidth="1"/>
    <col min="6" max="6" width="13.5546875" customWidth="1"/>
    <col min="8" max="8" width="11.5546875" customWidth="1"/>
    <col min="10" max="10" width="11.44140625" customWidth="1"/>
    <col min="11" max="11" width="11" customWidth="1"/>
    <col min="12" max="12" width="27.5546875" customWidth="1"/>
    <col min="13" max="13" width="19" customWidth="1"/>
  </cols>
  <sheetData>
    <row r="1" spans="1:13" s="14" customFormat="1" ht="26.4" customHeight="1" x14ac:dyDescent="0.3">
      <c r="A1" s="11" t="s">
        <v>1</v>
      </c>
      <c r="B1" s="12" t="s">
        <v>6</v>
      </c>
      <c r="C1" s="11" t="s">
        <v>7</v>
      </c>
      <c r="D1" s="11" t="s">
        <v>8</v>
      </c>
      <c r="E1" s="12" t="s">
        <v>12</v>
      </c>
      <c r="F1" s="11" t="s">
        <v>13</v>
      </c>
      <c r="G1" s="16" t="s">
        <v>15</v>
      </c>
      <c r="H1" s="16" t="s">
        <v>16</v>
      </c>
      <c r="I1" s="16" t="s">
        <v>17</v>
      </c>
      <c r="J1" s="16" t="s">
        <v>18</v>
      </c>
      <c r="K1" s="16" t="s">
        <v>85</v>
      </c>
      <c r="L1" s="13" t="s">
        <v>20</v>
      </c>
      <c r="M1" s="13" t="s">
        <v>66</v>
      </c>
    </row>
    <row r="2" spans="1:13" s="4" customFormat="1" ht="61.8" customHeight="1" x14ac:dyDescent="0.3">
      <c r="A2" s="2" t="s">
        <v>25</v>
      </c>
      <c r="B2" s="3" t="s">
        <v>9</v>
      </c>
      <c r="C2" s="2" t="s">
        <v>10</v>
      </c>
      <c r="D2" s="2" t="s">
        <v>10</v>
      </c>
      <c r="E2" s="3" t="s">
        <v>28</v>
      </c>
      <c r="F2" s="3" t="s">
        <v>27</v>
      </c>
      <c r="G2" s="3" t="s">
        <v>29</v>
      </c>
      <c r="H2" s="4">
        <v>4</v>
      </c>
      <c r="I2" s="4">
        <v>5</v>
      </c>
      <c r="J2" s="4">
        <f t="shared" ref="J2:J12" si="0">H2*I2</f>
        <v>20</v>
      </c>
      <c r="K2" s="4" t="s">
        <v>9</v>
      </c>
      <c r="L2" s="4" t="s">
        <v>26</v>
      </c>
      <c r="M2" s="10" t="s">
        <v>67</v>
      </c>
    </row>
    <row r="3" spans="1:13" s="5" customFormat="1" ht="216" x14ac:dyDescent="0.3">
      <c r="A3" s="5" t="s">
        <v>2</v>
      </c>
      <c r="B3" s="6" t="s">
        <v>9</v>
      </c>
      <c r="C3" s="7" t="s">
        <v>9</v>
      </c>
      <c r="D3" s="6" t="s">
        <v>10</v>
      </c>
      <c r="E3" s="8" t="s">
        <v>59</v>
      </c>
      <c r="F3" s="8" t="s">
        <v>41</v>
      </c>
      <c r="G3" s="8" t="s">
        <v>78</v>
      </c>
      <c r="H3" s="5">
        <v>4</v>
      </c>
      <c r="I3" s="5">
        <v>5</v>
      </c>
      <c r="J3" s="5">
        <f t="shared" si="0"/>
        <v>20</v>
      </c>
      <c r="K3" s="5" t="s">
        <v>9</v>
      </c>
      <c r="L3" s="8" t="s">
        <v>42</v>
      </c>
      <c r="M3" s="8" t="s">
        <v>74</v>
      </c>
    </row>
    <row r="4" spans="1:13" s="4" customFormat="1" ht="100.8" x14ac:dyDescent="0.3">
      <c r="A4" s="4" t="s">
        <v>65</v>
      </c>
      <c r="B4" s="9" t="s">
        <v>10</v>
      </c>
      <c r="C4" s="9" t="s">
        <v>10</v>
      </c>
      <c r="D4" s="9" t="s">
        <v>9</v>
      </c>
      <c r="E4" s="10" t="s">
        <v>33</v>
      </c>
      <c r="F4" s="10" t="s">
        <v>73</v>
      </c>
      <c r="G4" s="10" t="s">
        <v>63</v>
      </c>
      <c r="H4" s="4">
        <v>4</v>
      </c>
      <c r="I4" s="4">
        <v>5</v>
      </c>
      <c r="J4" s="4">
        <f t="shared" si="0"/>
        <v>20</v>
      </c>
      <c r="K4" s="4" t="s">
        <v>9</v>
      </c>
      <c r="L4" s="10" t="s">
        <v>64</v>
      </c>
      <c r="M4" s="10" t="s">
        <v>76</v>
      </c>
    </row>
    <row r="5" spans="1:13" s="5" customFormat="1" ht="43.2" x14ac:dyDescent="0.3">
      <c r="A5" s="5" t="s">
        <v>3</v>
      </c>
      <c r="B5" s="1" t="s">
        <v>19</v>
      </c>
      <c r="C5" s="6" t="s">
        <v>9</v>
      </c>
      <c r="D5" s="6" t="s">
        <v>10</v>
      </c>
      <c r="E5" s="8" t="s">
        <v>43</v>
      </c>
      <c r="F5" s="8" t="s">
        <v>44</v>
      </c>
      <c r="G5" s="8" t="s">
        <v>34</v>
      </c>
      <c r="H5" s="5">
        <v>3</v>
      </c>
      <c r="I5" s="5">
        <v>3</v>
      </c>
      <c r="J5" s="5">
        <f t="shared" si="0"/>
        <v>9</v>
      </c>
      <c r="K5" s="5" t="s">
        <v>11</v>
      </c>
      <c r="L5" s="8" t="s">
        <v>21</v>
      </c>
      <c r="M5" s="5" t="s">
        <v>68</v>
      </c>
    </row>
    <row r="6" spans="1:13" s="4" customFormat="1" ht="201.6" x14ac:dyDescent="0.3">
      <c r="A6" s="4" t="s">
        <v>50</v>
      </c>
      <c r="B6" s="9" t="s">
        <v>9</v>
      </c>
      <c r="C6" s="9" t="s">
        <v>9</v>
      </c>
      <c r="D6" s="9" t="s">
        <v>10</v>
      </c>
      <c r="E6" s="10" t="s">
        <v>31</v>
      </c>
      <c r="F6" s="10" t="s">
        <v>32</v>
      </c>
      <c r="G6" s="10" t="s">
        <v>51</v>
      </c>
      <c r="H6" s="4">
        <v>3</v>
      </c>
      <c r="I6" s="4">
        <v>4</v>
      </c>
      <c r="J6" s="4">
        <f t="shared" si="0"/>
        <v>12</v>
      </c>
      <c r="K6" s="4" t="s">
        <v>10</v>
      </c>
      <c r="L6" s="10" t="s">
        <v>52</v>
      </c>
      <c r="M6" s="10" t="s">
        <v>69</v>
      </c>
    </row>
    <row r="7" spans="1:13" s="5" customFormat="1" ht="216" x14ac:dyDescent="0.3">
      <c r="A7" s="8" t="s">
        <v>61</v>
      </c>
      <c r="B7" s="6" t="s">
        <v>9</v>
      </c>
      <c r="C7" s="6" t="s">
        <v>9</v>
      </c>
      <c r="D7" s="1" t="s">
        <v>19</v>
      </c>
      <c r="E7" s="8" t="s">
        <v>58</v>
      </c>
      <c r="F7" s="8" t="s">
        <v>35</v>
      </c>
      <c r="G7" s="8" t="s">
        <v>70</v>
      </c>
      <c r="H7" s="5">
        <v>4</v>
      </c>
      <c r="I7" s="5">
        <v>4</v>
      </c>
      <c r="J7" s="5">
        <f t="shared" si="0"/>
        <v>16</v>
      </c>
      <c r="K7" s="5" t="s">
        <v>10</v>
      </c>
      <c r="L7" s="8" t="s">
        <v>49</v>
      </c>
      <c r="M7" s="8" t="s">
        <v>75</v>
      </c>
    </row>
    <row r="8" spans="1:13" s="4" customFormat="1" ht="144" x14ac:dyDescent="0.3">
      <c r="A8" s="4" t="s">
        <v>54</v>
      </c>
      <c r="B8" s="9" t="s">
        <v>9</v>
      </c>
      <c r="C8" s="9" t="s">
        <v>10</v>
      </c>
      <c r="D8" s="9" t="s">
        <v>10</v>
      </c>
      <c r="E8" s="10" t="s">
        <v>55</v>
      </c>
      <c r="F8" s="10" t="s">
        <v>48</v>
      </c>
      <c r="G8" s="10" t="s">
        <v>56</v>
      </c>
      <c r="H8" s="4">
        <v>4</v>
      </c>
      <c r="I8" s="4">
        <v>4</v>
      </c>
      <c r="J8" s="4">
        <f t="shared" si="0"/>
        <v>16</v>
      </c>
      <c r="K8" s="4" t="s">
        <v>10</v>
      </c>
      <c r="L8" s="10" t="s">
        <v>22</v>
      </c>
      <c r="M8" s="10" t="s">
        <v>77</v>
      </c>
    </row>
    <row r="9" spans="1:13" s="5" customFormat="1" ht="216" x14ac:dyDescent="0.3">
      <c r="A9" s="5" t="s">
        <v>4</v>
      </c>
      <c r="B9" s="6" t="s">
        <v>10</v>
      </c>
      <c r="C9" s="6" t="s">
        <v>9</v>
      </c>
      <c r="D9" s="6" t="s">
        <v>9</v>
      </c>
      <c r="E9" s="8" t="s">
        <v>53</v>
      </c>
      <c r="F9" s="8" t="s">
        <v>46</v>
      </c>
      <c r="G9" s="8" t="s">
        <v>45</v>
      </c>
      <c r="H9" s="5">
        <v>3</v>
      </c>
      <c r="I9" s="5">
        <v>4</v>
      </c>
      <c r="J9" s="5">
        <f t="shared" si="0"/>
        <v>12</v>
      </c>
      <c r="K9" s="5" t="s">
        <v>10</v>
      </c>
      <c r="L9" s="8" t="s">
        <v>36</v>
      </c>
      <c r="M9" s="8" t="s">
        <v>79</v>
      </c>
    </row>
    <row r="10" spans="1:13" s="4" customFormat="1" ht="302.39999999999998" x14ac:dyDescent="0.3">
      <c r="A10" s="4" t="s">
        <v>84</v>
      </c>
      <c r="B10" s="9" t="s">
        <v>11</v>
      </c>
      <c r="C10" s="9" t="s">
        <v>9</v>
      </c>
      <c r="D10" s="9" t="s">
        <v>10</v>
      </c>
      <c r="E10" s="10" t="s">
        <v>38</v>
      </c>
      <c r="F10" s="10" t="s">
        <v>47</v>
      </c>
      <c r="G10" s="10" t="s">
        <v>60</v>
      </c>
      <c r="H10" s="4">
        <v>3</v>
      </c>
      <c r="I10" s="4">
        <v>3</v>
      </c>
      <c r="J10" s="4">
        <f t="shared" si="0"/>
        <v>9</v>
      </c>
      <c r="K10" s="4" t="s">
        <v>11</v>
      </c>
      <c r="L10" s="10" t="s">
        <v>37</v>
      </c>
      <c r="M10" s="10" t="s">
        <v>71</v>
      </c>
    </row>
    <row r="11" spans="1:13" s="5" customFormat="1" ht="216" x14ac:dyDescent="0.3">
      <c r="A11" s="5" t="s">
        <v>5</v>
      </c>
      <c r="B11" s="6" t="s">
        <v>11</v>
      </c>
      <c r="C11" s="6" t="s">
        <v>9</v>
      </c>
      <c r="D11" s="6" t="s">
        <v>10</v>
      </c>
      <c r="E11" s="8" t="s">
        <v>39</v>
      </c>
      <c r="F11" s="8" t="s">
        <v>62</v>
      </c>
      <c r="G11" s="8" t="s">
        <v>57</v>
      </c>
      <c r="H11" s="5">
        <v>3</v>
      </c>
      <c r="I11" s="5">
        <v>3</v>
      </c>
      <c r="J11" s="5">
        <f t="shared" si="0"/>
        <v>9</v>
      </c>
      <c r="K11" s="5" t="s">
        <v>11</v>
      </c>
      <c r="L11" s="8" t="s">
        <v>30</v>
      </c>
      <c r="M11" s="8" t="s">
        <v>72</v>
      </c>
    </row>
    <row r="12" spans="1:13" s="4" customFormat="1" ht="201.6" x14ac:dyDescent="0.3">
      <c r="A12" s="4" t="s">
        <v>80</v>
      </c>
      <c r="B12" s="9" t="s">
        <v>9</v>
      </c>
      <c r="C12" s="9" t="s">
        <v>10</v>
      </c>
      <c r="D12" s="17" t="s">
        <v>40</v>
      </c>
      <c r="E12" s="10" t="s">
        <v>23</v>
      </c>
      <c r="F12" s="10" t="s">
        <v>81</v>
      </c>
      <c r="G12" s="10" t="s">
        <v>24</v>
      </c>
      <c r="H12" s="4">
        <v>3</v>
      </c>
      <c r="I12" s="4">
        <v>4</v>
      </c>
      <c r="J12" s="4">
        <f t="shared" si="0"/>
        <v>12</v>
      </c>
      <c r="K12" s="4" t="s">
        <v>10</v>
      </c>
      <c r="L12" s="10" t="s">
        <v>83</v>
      </c>
      <c r="M12" s="10" t="s">
        <v>82</v>
      </c>
    </row>
  </sheetData>
  <conditionalFormatting sqref="B1:D12">
    <cfRule type="cellIs" dxfId="8" priority="4" operator="equal">
      <formula>"low"</formula>
    </cfRule>
    <cfRule type="cellIs" dxfId="7" priority="5" operator="equal">
      <formula>"medium"</formula>
    </cfRule>
    <cfRule type="cellIs" dxfId="6" priority="6" operator="equal">
      <formula>"High"</formula>
    </cfRule>
  </conditionalFormatting>
  <conditionalFormatting sqref="G4:G6 G9:G12">
    <cfRule type="cellIs" dxfId="5" priority="7" operator="equal">
      <formula>"High"</formula>
    </cfRule>
    <cfRule type="cellIs" dxfId="4" priority="8" operator="equal">
      <formula>"low"</formula>
    </cfRule>
    <cfRule type="cellIs" dxfId="3" priority="9" operator="equal">
      <formula>"high"</formula>
    </cfRule>
  </conditionalFormatting>
  <conditionalFormatting sqref="J2:J12">
    <cfRule type="cellIs" dxfId="2" priority="1" operator="greaterThan">
      <formula>19</formula>
    </cfRule>
    <cfRule type="cellIs" dxfId="1" priority="2" operator="between">
      <formula>10</formula>
      <formula>19</formula>
    </cfRule>
    <cfRule type="cellIs" dxfId="0" priority="3" operator="lessThanOrEqual">
      <formula>9</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Threat &amp; Control Assessment</vt:lpstr>
      <vt:lpstr>Pivot Table</vt:lpstr>
      <vt:lpstr>Summary Report</vt:lpstr>
      <vt:lpstr>Tabular Data (Rough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Inder Singh</dc:creator>
  <cp:lastModifiedBy>Raj Inder Singh</cp:lastModifiedBy>
  <cp:lastPrinted>2026-10-22T00:28:15Z</cp:lastPrinted>
  <dcterms:created xsi:type="dcterms:W3CDTF">2015-06-05T18:17:20Z</dcterms:created>
  <dcterms:modified xsi:type="dcterms:W3CDTF">2026-10-22T22:51:35Z</dcterms:modified>
</cp:coreProperties>
</file>